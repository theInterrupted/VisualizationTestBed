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harles\Documents\RPG\Briarwood\"/>
    </mc:Choice>
  </mc:AlternateContent>
  <bookViews>
    <workbookView xWindow="0" yWindow="0" windowWidth="20520" windowHeight="8535" activeTab="1"/>
  </bookViews>
  <sheets>
    <sheet name="Start" sheetId="1" r:id="rId1"/>
    <sheet name="Races" sheetId="2" r:id="rId2"/>
    <sheet name="Archetypes" sheetId="3" r:id="rId3"/>
    <sheet name="traits" sheetId="4" r:id="rId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6" i="2" l="1"/>
  <c r="N5" i="2" l="1"/>
  <c r="N3" i="2"/>
  <c r="N4" i="2"/>
  <c r="N7" i="2"/>
  <c r="N2" i="2"/>
</calcChain>
</file>

<file path=xl/sharedStrings.xml><?xml version="1.0" encoding="utf-8"?>
<sst xmlns="http://schemas.openxmlformats.org/spreadsheetml/2006/main" count="632" uniqueCount="360">
  <si>
    <t>Race</t>
  </si>
  <si>
    <t>Sylvan</t>
  </si>
  <si>
    <t>Pelagus</t>
  </si>
  <si>
    <t>Zavyn</t>
  </si>
  <si>
    <t>Alpyn</t>
  </si>
  <si>
    <t>Exomer</t>
  </si>
  <si>
    <t>Stature</t>
  </si>
  <si>
    <t>Speed (yards/round)</t>
  </si>
  <si>
    <t>Average</t>
  </si>
  <si>
    <t>Fast</t>
  </si>
  <si>
    <t>Charisma</t>
  </si>
  <si>
    <t>Grit</t>
  </si>
  <si>
    <t>Creativity</t>
  </si>
  <si>
    <t>Muscle</t>
  </si>
  <si>
    <t>Hide</t>
  </si>
  <si>
    <t>Seek</t>
  </si>
  <si>
    <t>Scamper</t>
  </si>
  <si>
    <t>Scrap</t>
  </si>
  <si>
    <t>Throw</t>
  </si>
  <si>
    <t>Sense</t>
  </si>
  <si>
    <t>Archetype</t>
  </si>
  <si>
    <t>Sub-Type</t>
  </si>
  <si>
    <t>Explorer</t>
  </si>
  <si>
    <t>Adventurer</t>
  </si>
  <si>
    <t>Socialite</t>
  </si>
  <si>
    <t>Director</t>
  </si>
  <si>
    <t>Scientist</t>
  </si>
  <si>
    <t>Hacker</t>
  </si>
  <si>
    <t>Planner</t>
  </si>
  <si>
    <t>Opportunist</t>
  </si>
  <si>
    <t>Networker</t>
  </si>
  <si>
    <t>Friend</t>
  </si>
  <si>
    <t>Politician</t>
  </si>
  <si>
    <t>Griefer</t>
  </si>
  <si>
    <t>Basis</t>
  </si>
  <si>
    <t>Descripton</t>
  </si>
  <si>
    <t>World interactor</t>
  </si>
  <si>
    <t>World actor</t>
  </si>
  <si>
    <t>Person Interactor</t>
  </si>
  <si>
    <t>Person Actor</t>
  </si>
  <si>
    <t>Methodical experimenter</t>
  </si>
  <si>
    <t>addTrait(new Trait("</t>
  </si>
  <si>
    <t>Trait.TraitCost.VAL_MIN_1,</t>
  </si>
  <si>
    <t xml:space="preserve"> ));</t>
  </si>
  <si>
    <t>Alchemy</t>
  </si>
  <si>
    <t>Biologics</t>
  </si>
  <si>
    <t>Communication</t>
  </si>
  <si>
    <t>Culture</t>
  </si>
  <si>
    <t>Guile</t>
  </si>
  <si>
    <t>Medical</t>
  </si>
  <si>
    <t>Nature</t>
  </si>
  <si>
    <t>Perform: Act</t>
  </si>
  <si>
    <t>Machinery: Drive</t>
  </si>
  <si>
    <t>Machinery: Pilot</t>
  </si>
  <si>
    <t>Machinery: Engineering</t>
  </si>
  <si>
    <t>Locale: Survival</t>
  </si>
  <si>
    <t>Locale: Tracking</t>
  </si>
  <si>
    <t>Locale: Navigation</t>
  </si>
  <si>
    <t>Perform: Art</t>
  </si>
  <si>
    <t>Perform: Dance</t>
  </si>
  <si>
    <t>Perform: Sing</t>
  </si>
  <si>
    <t>Perform: Instrument</t>
  </si>
  <si>
    <t>Perform: Magic</t>
  </si>
  <si>
    <t>Perform: Comedy</t>
  </si>
  <si>
    <t>Physics</t>
  </si>
  <si>
    <t>Scribe</t>
  </si>
  <si>
    <t>Archery</t>
  </si>
  <si>
    <t>Grappling</t>
  </si>
  <si>
    <t>Hand Weapons</t>
  </si>
  <si>
    <t>Shooting</t>
  </si>
  <si>
    <t>Humanities: Literature</t>
  </si>
  <si>
    <t>Humanities: Philosophy</t>
  </si>
  <si>
    <t>Humanities: Theology</t>
  </si>
  <si>
    <t>Humanities: Mythology</t>
  </si>
  <si>
    <t>Humanities: Occult</t>
  </si>
  <si>
    <t>Humanities: History</t>
  </si>
  <si>
    <t>Social Sciences: Anthropology</t>
  </si>
  <si>
    <t>Social Sciences: Criminology</t>
  </si>
  <si>
    <t>Social Sciences: Archaeology</t>
  </si>
  <si>
    <t>Social Sciences: Psychology</t>
  </si>
  <si>
    <t>Social Sciences: Sociology</t>
  </si>
  <si>
    <t>Trait.TraitCost.LINEAR_1,</t>
  </si>
  <si>
    <t>Trait.TraitCost.VAL,</t>
  </si>
  <si>
    <t>Trait.TraitCost.LINEAR_2,</t>
  </si>
  <si>
    <t xml:space="preserve">", TraitType.STUDIED, </t>
  </si>
  <si>
    <t xml:space="preserve">Humanities: Theology </t>
  </si>
  <si>
    <t xml:space="preserve">Machinery: Drive </t>
  </si>
  <si>
    <t xml:space="preserve">Perform: Instrument </t>
  </si>
  <si>
    <t xml:space="preserve">Social Sciences: Anthropology </t>
  </si>
  <si>
    <t xml:space="preserve">Grappling </t>
  </si>
  <si>
    <t>Magic: Sentinel</t>
  </si>
  <si>
    <t>Magic: Emissary</t>
  </si>
  <si>
    <t>Magic: Medic</t>
  </si>
  <si>
    <t>Magic: Auditor</t>
  </si>
  <si>
    <t>Magic: Vagrant</t>
  </si>
  <si>
    <t>Magic: Artificer</t>
  </si>
  <si>
    <t>core</t>
  </si>
  <si>
    <t>physical</t>
  </si>
  <si>
    <t>learned</t>
  </si>
  <si>
    <t>magical</t>
  </si>
  <si>
    <t>Charisma is the capacity to effect others intellectually and emotionally.</t>
  </si>
  <si>
    <t>Grit is both physical and mental constitution against stress, as well as self-control</t>
  </si>
  <si>
    <t>Creativity is problem solving, inventing, drawing connections, and logic</t>
  </si>
  <si>
    <t>Muscle is the raw physical power that can be applied</t>
  </si>
  <si>
    <t>Hide is one's ability to disguise oneself in the environment to avoid being sensed</t>
  </si>
  <si>
    <t>Seek is the active pursuit of finding something or someone, noteably using sight</t>
  </si>
  <si>
    <t>Scamper is one's dexterity, reflexes, and movement control</t>
  </si>
  <si>
    <t>Scrap is melee combat, either armed or unarmed, in regards of skill to hit and to damage</t>
  </si>
  <si>
    <t>Throw is ranged combat, throwing objects, in regards to skill to hit and damage</t>
  </si>
  <si>
    <t>Sense is one's multiple senses, most noteably for passive use, i.e. sight, hearing, smelling, tasting, touching, balance, etc.</t>
  </si>
  <si>
    <t>Chemistry, Crafting, inventing</t>
  </si>
  <si>
    <t>Biology, botany, zoology</t>
  </si>
  <si>
    <t>Intimidation, Language, reading, writing, negotiation, etiquette, seduction</t>
  </si>
  <si>
    <t>Dress, fashion, Society, politics, performance</t>
  </si>
  <si>
    <t>Sneak, disguise, trade, lie</t>
  </si>
  <si>
    <t>Books, novels, stories</t>
  </si>
  <si>
    <t>Philosophers, metaphysics</t>
  </si>
  <si>
    <t>Religions, gods, deities, spirits, rituals, customs</t>
  </si>
  <si>
    <t>Old gods, deities, monsters, legends</t>
  </si>
  <si>
    <t>Forbidden, obscure, rare or taboo rituals, practices, and groups</t>
  </si>
  <si>
    <t>Local, world, kingdoms past</t>
  </si>
  <si>
    <t>Finding food, making shelters, making fire, identifying safe versus dangerous elements</t>
  </si>
  <si>
    <t>Finding a person or creature by their physical trail left behind</t>
  </si>
  <si>
    <t>Direction, distances, time to travel</t>
  </si>
  <si>
    <t>Operate and steer ground machines that move via wheels or treads</t>
  </si>
  <si>
    <t>Operate and control air machines</t>
  </si>
  <si>
    <t>Identify, repair, fix, invent, build, disassemble mechanical devices</t>
  </si>
  <si>
    <t>Stage acting</t>
  </si>
  <si>
    <t>Painting, drawing</t>
  </si>
  <si>
    <t>Formal, ballroom, belly, tribal, ritualistic, seductive</t>
  </si>
  <si>
    <t>Folk songs, opera, lullabies, ballads</t>
  </si>
  <si>
    <t>Wood, wind, metals, string, percussion</t>
  </si>
  <si>
    <t>Sleight-of-hand, illusion, distraction, and misdirection</t>
  </si>
  <si>
    <t>Ironic, crude, mockery, goofy</t>
  </si>
  <si>
    <t>Diagnosis, Ailments, treating injuries, surgery</t>
  </si>
  <si>
    <t>Animals, riding, wilderness, geology</t>
  </si>
  <si>
    <t>Physics, Astronomy, Crafting, Invention</t>
  </si>
  <si>
    <t>Memory, teaching, research, investigation</t>
  </si>
  <si>
    <t>Studying crime, investigations, criminal psychology, forensics</t>
  </si>
  <si>
    <t>Study of cultures and people from the past through the physical evidence left behind</t>
  </si>
  <si>
    <t>Study of individual behavior, motivations, and the ego</t>
  </si>
  <si>
    <t>Study of  social behaviour, including its origins, development, organization, and institutions such as social norms</t>
  </si>
  <si>
    <t>Studying people, cultures, group psychology</t>
  </si>
  <si>
    <t>Bows, crossbows</t>
  </si>
  <si>
    <t>Wrestling, martial arts, push/pull</t>
  </si>
  <si>
    <t>Swords, bats, clubs, swung items</t>
  </si>
  <si>
    <t>Cannons, guns</t>
  </si>
  <si>
    <t>Banishing, Shielding, Warding</t>
  </si>
  <si>
    <t>Binding, Calling, Sending, Summoning, Channeling</t>
  </si>
  <si>
    <t>Cleansing, Healing, Numbing</t>
  </si>
  <si>
    <t>Divining, Knowing, Locating, Seeing</t>
  </si>
  <si>
    <t>Dark Ether Magic: Obscuring, MisKnowing, Illusion, Simulacrum, Unknowing</t>
  </si>
  <si>
    <t>Dark Ether Magic: Transformation, Weather</t>
  </si>
  <si>
    <t>make shelter, basic snares</t>
  </si>
  <si>
    <t>forage, make fires</t>
  </si>
  <si>
    <t>safe/dangerous id, traps</t>
  </si>
  <si>
    <t>find food, shelter in extreme locations</t>
  </si>
  <si>
    <t>mountainman</t>
  </si>
  <si>
    <t>mud, loose soil</t>
  </si>
  <si>
    <t>dry dirt, grass</t>
  </si>
  <si>
    <t>underbrush, scent</t>
  </si>
  <si>
    <t>marketplace, jungle</t>
  </si>
  <si>
    <t>dense city</t>
  </si>
  <si>
    <t>map reading</t>
  </si>
  <si>
    <t>directions</t>
  </si>
  <si>
    <t>stars and sun</t>
  </si>
  <si>
    <t>improved travel routes</t>
  </si>
  <si>
    <t>never lost</t>
  </si>
  <si>
    <t>basic, slow movement</t>
  </si>
  <si>
    <t>medium obstacle avoidance</t>
  </si>
  <si>
    <t>multi-terrain movement</t>
  </si>
  <si>
    <t>racing, fast reflex driving</t>
  </si>
  <si>
    <t>master driver</t>
  </si>
  <si>
    <t>mild weather</t>
  </si>
  <si>
    <t>quick movement, obstacles</t>
  </si>
  <si>
    <t>harsh weather, combar maneuvering</t>
  </si>
  <si>
    <t>airship master</t>
  </si>
  <si>
    <t>basic id functions, simple disassembly</t>
  </si>
  <si>
    <t>Maintenance, tool usage, basic repairs</t>
  </si>
  <si>
    <t>diagnostics, small machines</t>
  </si>
  <si>
    <t>steam machines, heavy machinery</t>
  </si>
  <si>
    <t>machine invention</t>
  </si>
  <si>
    <t>x</t>
  </si>
  <si>
    <t>basic first aide</t>
  </si>
  <si>
    <t>surgeon</t>
  </si>
  <si>
    <t>treat ailments</t>
  </si>
  <si>
    <t>diagnose rare ailments, treat deseases</t>
  </si>
  <si>
    <t>control/ride tamed animals</t>
  </si>
  <si>
    <t>basic domestic animal use, basic animal id</t>
  </si>
  <si>
    <t>plant id, rock id, advanced animal id</t>
  </si>
  <si>
    <t>advanced riding, taming wild animals</t>
  </si>
  <si>
    <t>names of nature</t>
  </si>
  <si>
    <t>improv</t>
  </si>
  <si>
    <t>skits</t>
  </si>
  <si>
    <t>short plays</t>
  </si>
  <si>
    <t>epics</t>
  </si>
  <si>
    <t>master actor</t>
  </si>
  <si>
    <t>basic sketches</t>
  </si>
  <si>
    <t>basic painting</t>
  </si>
  <si>
    <t>natural forms, geometrics</t>
  </si>
  <si>
    <t>realism</t>
  </si>
  <si>
    <t>basic dance steps</t>
  </si>
  <si>
    <t>opera</t>
  </si>
  <si>
    <t>belly dancing, seductive</t>
  </si>
  <si>
    <t>tap/clogging</t>
  </si>
  <si>
    <t>lullabies, drinking songs</t>
  </si>
  <si>
    <t>ballet</t>
  </si>
  <si>
    <t>folk songs, choir</t>
  </si>
  <si>
    <t>common songs, with basic instrument</t>
  </si>
  <si>
    <t>basic notes, few chords</t>
  </si>
  <si>
    <t>common chords, simple songs</t>
  </si>
  <si>
    <t>sheet music, improv, folk songs</t>
  </si>
  <si>
    <t>soloist master</t>
  </si>
  <si>
    <t>basic card and cup tricks</t>
  </si>
  <si>
    <t>misdirection, item shift tricks</t>
  </si>
  <si>
    <t>impossible acts</t>
  </si>
  <si>
    <t>knock-knock, puns, lymerics</t>
  </si>
  <si>
    <t>avg lrg adult</t>
  </si>
  <si>
    <t>bear</t>
  </si>
  <si>
    <t>horse</t>
  </si>
  <si>
    <t>barrel or box</t>
  </si>
  <si>
    <t>crowd</t>
  </si>
  <si>
    <t>wilderness</t>
  </si>
  <si>
    <t>anywhere but total open space</t>
  </si>
  <si>
    <t>plain sight</t>
  </si>
  <si>
    <t>plain view</t>
  </si>
  <si>
    <t>pick out in a crowd</t>
  </si>
  <si>
    <t>spot in wilderness</t>
  </si>
  <si>
    <t>needles in haystacks</t>
  </si>
  <si>
    <t>see through camoflage</t>
  </si>
  <si>
    <t>clumsy trot</t>
  </si>
  <si>
    <t>fit</t>
  </si>
  <si>
    <t>solid runner</t>
  </si>
  <si>
    <t>marathon/sprinter</t>
  </si>
  <si>
    <t>olympian</t>
  </si>
  <si>
    <t>flurry</t>
  </si>
  <si>
    <t>brawler</t>
  </si>
  <si>
    <t>solid fighter</t>
  </si>
  <si>
    <t>champion</t>
  </si>
  <si>
    <t>world class</t>
  </si>
  <si>
    <t>right direction</t>
  </si>
  <si>
    <t>huge targets</t>
  </si>
  <si>
    <t>medium targets</t>
  </si>
  <si>
    <t>small targets</t>
  </si>
  <si>
    <t>never miss</t>
  </si>
  <si>
    <t>awake</t>
  </si>
  <si>
    <t>basic id</t>
  </si>
  <si>
    <t>salves and tonics</t>
  </si>
  <si>
    <t>potions and poisons</t>
  </si>
  <si>
    <t>complex properties</t>
  </si>
  <si>
    <t>world renowned</t>
  </si>
  <si>
    <t>id families</t>
  </si>
  <si>
    <t>distinct specie information</t>
  </si>
  <si>
    <t>high level research scientist</t>
  </si>
  <si>
    <t>2 langs</t>
  </si>
  <si>
    <t>5 langs, basic etiquettes</t>
  </si>
  <si>
    <t>8 langs, linguist</t>
  </si>
  <si>
    <t>great orator</t>
  </si>
  <si>
    <t>elite who's who</t>
  </si>
  <si>
    <t>multicultural savvy</t>
  </si>
  <si>
    <t>politician</t>
  </si>
  <si>
    <t>celebrity</t>
  </si>
  <si>
    <t>basic bartering</t>
  </si>
  <si>
    <t>less noticed, avg trader</t>
  </si>
  <si>
    <t>solid trader, stealthy</t>
  </si>
  <si>
    <t>master of disguise</t>
  </si>
  <si>
    <t>ninja with a silver tongue</t>
  </si>
  <si>
    <t>basic fairy tales</t>
  </si>
  <si>
    <t>cultural stories</t>
  </si>
  <si>
    <t>well read</t>
  </si>
  <si>
    <t>rare books</t>
  </si>
  <si>
    <t>scholar</t>
  </si>
  <si>
    <t>basic logic and metaphysics</t>
  </si>
  <si>
    <t>ethics and morality</t>
  </si>
  <si>
    <t>purpose and meaning</t>
  </si>
  <si>
    <t>essence of conscience</t>
  </si>
  <si>
    <t>master philosopher</t>
  </si>
  <si>
    <t>ritual familiarity</t>
  </si>
  <si>
    <t>priest</t>
  </si>
  <si>
    <t>bishop</t>
  </si>
  <si>
    <t>Legend</t>
  </si>
  <si>
    <t>unique cultural mythology</t>
  </si>
  <si>
    <t>rare myth expertise</t>
  </si>
  <si>
    <t>taboos and factions</t>
  </si>
  <si>
    <t>forbidden groups and practices</t>
  </si>
  <si>
    <t>occult priest</t>
  </si>
  <si>
    <t>pegan high priest</t>
  </si>
  <si>
    <t>basic local history</t>
  </si>
  <si>
    <t>world history</t>
  </si>
  <si>
    <t>kingdoms gone</t>
  </si>
  <si>
    <t>distinct people, places, and times</t>
  </si>
  <si>
    <t>irony, slap-stick</t>
  </si>
  <si>
    <t>mockery, improv</t>
  </si>
  <si>
    <t>performance</t>
  </si>
  <si>
    <t>master comedian</t>
  </si>
  <si>
    <t>basic laws</t>
  </si>
  <si>
    <t>physical properties, basic astronomy</t>
  </si>
  <si>
    <t>aerodynamics, hydrodynamics</t>
  </si>
  <si>
    <t>physics scientist</t>
  </si>
  <si>
    <t>organized notes, record keeping</t>
  </si>
  <si>
    <t>improved memory, research</t>
  </si>
  <si>
    <t>skilled researcher, basic instruction</t>
  </si>
  <si>
    <t>professor, author, investigator</t>
  </si>
  <si>
    <t>basic group cohesion/division</t>
  </si>
  <si>
    <t>cultural/social motivations</t>
  </si>
  <si>
    <t>group psychology</t>
  </si>
  <si>
    <t>cultural evolution</t>
  </si>
  <si>
    <t>basic crimes/laws</t>
  </si>
  <si>
    <t>crime scene clue logging</t>
  </si>
  <si>
    <t>criminal psychology, forensics</t>
  </si>
  <si>
    <t>investigative scientist</t>
  </si>
  <si>
    <t>master criminologist</t>
  </si>
  <si>
    <t>basic id, excavation techniques</t>
  </si>
  <si>
    <t>culture identification</t>
  </si>
  <si>
    <t>item dating</t>
  </si>
  <si>
    <t>historical forensics and reconstruction</t>
  </si>
  <si>
    <t>basic needs</t>
  </si>
  <si>
    <t>ego, motivation, esteem</t>
  </si>
  <si>
    <t>mental illness, obscurities</t>
  </si>
  <si>
    <t>boundaries of the mind</t>
  </si>
  <si>
    <t>social hierarchies</t>
  </si>
  <si>
    <t>social behaviors</t>
  </si>
  <si>
    <t>societal evolution</t>
  </si>
  <si>
    <t>social ethics</t>
  </si>
  <si>
    <t>nearby parked airship</t>
  </si>
  <si>
    <t>slow carriage</t>
  </si>
  <si>
    <t>fleeing bandits</t>
  </si>
  <si>
    <t>animals in jungle or dense woodland</t>
  </si>
  <si>
    <t>pinpoint fast moving targets</t>
  </si>
  <si>
    <t>basic clinch</t>
  </si>
  <si>
    <t>simple throws, control target</t>
  </si>
  <si>
    <t>skillful techniques, pressure points</t>
  </si>
  <si>
    <t>disarming, multiple opponents</t>
  </si>
  <si>
    <t>champion wrestler</t>
  </si>
  <si>
    <t>solid swing, chop, thrust</t>
  </si>
  <si>
    <t>slash, parry</t>
  </si>
  <si>
    <t>dual weapons, multiple opponents</t>
  </si>
  <si>
    <t>skilled fencing, disarming</t>
  </si>
  <si>
    <t>champion dualist</t>
  </si>
  <si>
    <t>diagnose common ailments, treat sickness, combat medic</t>
  </si>
  <si>
    <t>impression, portraits</t>
  </si>
  <si>
    <t>ritual dancing, ballroom</t>
  </si>
  <si>
    <t>contatas, possible band or orchestra, ballads</t>
  </si>
  <si>
    <t>full band/accompanyment, orchestra</t>
  </si>
  <si>
    <t>basic disappearing tricks, assistant magic</t>
  </si>
  <si>
    <t>escape tricks, close-up, plane sight tricks</t>
  </si>
  <si>
    <t>eagle's eyes, dog's nose, bat's ears</t>
  </si>
  <si>
    <t>single voice in a crowd</t>
  </si>
  <si>
    <t>peripheral alert</t>
  </si>
  <si>
    <t>animal in the wind</t>
  </si>
  <si>
    <t>child</t>
  </si>
  <si>
    <t>adolescent</t>
  </si>
  <si>
    <t>dinosaur</t>
  </si>
  <si>
    <t>elephant</t>
  </si>
  <si>
    <t>bison</t>
  </si>
  <si>
    <t>moose</t>
  </si>
  <si>
    <t>gorilla</t>
  </si>
  <si>
    <t>speak and all listen</t>
  </si>
  <si>
    <t>basic good/bad dress/fashion</t>
  </si>
  <si>
    <t>Nephoros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</si>
</sst>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37"/>
  <sheetViews>
    <sheetView workbookViewId="0">
      <selection activeCell="C34" sqref="C34"/>
    </sheetView>
  </sheetViews>
  <sheetFormatPr defaultRowHeight="15" x14ac:dyDescent="0.25"/>
  <cols>
    <col min="1" max="1" width="19.140625" bestFit="1" customWidth="1"/>
    <col min="2" max="2" width="16.5703125" customWidth="1"/>
    <col min="3" max="3" width="19.5703125" bestFit="1" customWidth="1"/>
    <col min="4" max="4" width="25.140625" bestFit="1" customWidth="1"/>
    <col min="5" max="5" width="2" bestFit="1" customWidth="1"/>
    <col min="6" max="6" width="3.42578125" bestFit="1" customWidth="1"/>
  </cols>
  <sheetData>
    <row r="1" spans="1:6" x14ac:dyDescent="0.25">
      <c r="A1" t="s">
        <v>41</v>
      </c>
      <c r="B1" t="s">
        <v>44</v>
      </c>
      <c r="C1" t="s">
        <v>84</v>
      </c>
      <c r="D1" t="s">
        <v>82</v>
      </c>
      <c r="E1">
        <v>0</v>
      </c>
      <c r="F1" t="s">
        <v>43</v>
      </c>
    </row>
    <row r="2" spans="1:6" x14ac:dyDescent="0.25">
      <c r="A2" t="s">
        <v>41</v>
      </c>
      <c r="B2" t="s">
        <v>45</v>
      </c>
      <c r="C2" t="s">
        <v>84</v>
      </c>
      <c r="D2" t="s">
        <v>82</v>
      </c>
      <c r="E2">
        <v>0</v>
      </c>
      <c r="F2" t="s">
        <v>43</v>
      </c>
    </row>
    <row r="3" spans="1:6" x14ac:dyDescent="0.25">
      <c r="A3" t="s">
        <v>41</v>
      </c>
      <c r="B3" t="s">
        <v>46</v>
      </c>
      <c r="C3" t="s">
        <v>84</v>
      </c>
      <c r="D3" t="s">
        <v>81</v>
      </c>
      <c r="E3">
        <v>1</v>
      </c>
      <c r="F3" t="s">
        <v>43</v>
      </c>
    </row>
    <row r="4" spans="1:6" x14ac:dyDescent="0.25">
      <c r="A4" t="s">
        <v>41</v>
      </c>
      <c r="B4" t="s">
        <v>47</v>
      </c>
      <c r="C4" t="s">
        <v>84</v>
      </c>
      <c r="D4" t="s">
        <v>42</v>
      </c>
      <c r="E4">
        <v>0</v>
      </c>
      <c r="F4" t="s">
        <v>43</v>
      </c>
    </row>
    <row r="5" spans="1:6" x14ac:dyDescent="0.25">
      <c r="A5" t="s">
        <v>41</v>
      </c>
      <c r="B5" t="s">
        <v>48</v>
      </c>
      <c r="C5" t="s">
        <v>84</v>
      </c>
      <c r="D5" t="s">
        <v>81</v>
      </c>
      <c r="E5">
        <v>0</v>
      </c>
      <c r="F5" t="s">
        <v>43</v>
      </c>
    </row>
    <row r="6" spans="1:6" x14ac:dyDescent="0.25">
      <c r="A6" t="s">
        <v>41</v>
      </c>
      <c r="B6" t="s">
        <v>70</v>
      </c>
      <c r="C6" t="s">
        <v>84</v>
      </c>
      <c r="D6" t="s">
        <v>83</v>
      </c>
      <c r="E6">
        <v>0</v>
      </c>
      <c r="F6" t="s">
        <v>43</v>
      </c>
    </row>
    <row r="7" spans="1:6" x14ac:dyDescent="0.25">
      <c r="A7" t="s">
        <v>41</v>
      </c>
      <c r="B7" t="s">
        <v>71</v>
      </c>
      <c r="C7" t="s">
        <v>84</v>
      </c>
      <c r="D7" t="s">
        <v>83</v>
      </c>
      <c r="E7">
        <v>0</v>
      </c>
      <c r="F7" t="s">
        <v>43</v>
      </c>
    </row>
    <row r="8" spans="1:6" x14ac:dyDescent="0.25">
      <c r="A8" t="s">
        <v>41</v>
      </c>
      <c r="B8" t="s">
        <v>72</v>
      </c>
      <c r="C8" t="s">
        <v>84</v>
      </c>
      <c r="D8" t="s">
        <v>83</v>
      </c>
      <c r="E8">
        <v>0</v>
      </c>
      <c r="F8" t="s">
        <v>43</v>
      </c>
    </row>
    <row r="9" spans="1:6" x14ac:dyDescent="0.25">
      <c r="A9" t="s">
        <v>41</v>
      </c>
      <c r="B9" t="s">
        <v>73</v>
      </c>
      <c r="C9" t="s">
        <v>84</v>
      </c>
      <c r="D9" t="s">
        <v>83</v>
      </c>
      <c r="E9">
        <v>0</v>
      </c>
      <c r="F9" t="s">
        <v>43</v>
      </c>
    </row>
    <row r="10" spans="1:6" x14ac:dyDescent="0.25">
      <c r="A10" t="s">
        <v>41</v>
      </c>
      <c r="B10" t="s">
        <v>74</v>
      </c>
      <c r="C10" t="s">
        <v>84</v>
      </c>
      <c r="D10" t="s">
        <v>83</v>
      </c>
      <c r="E10">
        <v>0</v>
      </c>
      <c r="F10" t="s">
        <v>43</v>
      </c>
    </row>
    <row r="11" spans="1:6" x14ac:dyDescent="0.25">
      <c r="A11" t="s">
        <v>41</v>
      </c>
      <c r="B11" t="s">
        <v>75</v>
      </c>
      <c r="C11" t="s">
        <v>84</v>
      </c>
      <c r="D11" t="s">
        <v>83</v>
      </c>
      <c r="E11">
        <v>0</v>
      </c>
      <c r="F11" t="s">
        <v>43</v>
      </c>
    </row>
    <row r="12" spans="1:6" x14ac:dyDescent="0.25">
      <c r="A12" t="s">
        <v>41</v>
      </c>
      <c r="B12" t="s">
        <v>55</v>
      </c>
      <c r="C12" t="s">
        <v>84</v>
      </c>
      <c r="D12" t="s">
        <v>81</v>
      </c>
      <c r="E12">
        <v>0</v>
      </c>
      <c r="F12" t="s">
        <v>43</v>
      </c>
    </row>
    <row r="13" spans="1:6" x14ac:dyDescent="0.25">
      <c r="A13" t="s">
        <v>41</v>
      </c>
      <c r="B13" t="s">
        <v>56</v>
      </c>
      <c r="C13" t="s">
        <v>84</v>
      </c>
      <c r="D13" t="s">
        <v>81</v>
      </c>
      <c r="E13">
        <v>0</v>
      </c>
      <c r="F13" t="s">
        <v>43</v>
      </c>
    </row>
    <row r="14" spans="1:6" x14ac:dyDescent="0.25">
      <c r="A14" t="s">
        <v>41</v>
      </c>
      <c r="B14" t="s">
        <v>57</v>
      </c>
      <c r="C14" t="s">
        <v>84</v>
      </c>
      <c r="D14" t="s">
        <v>81</v>
      </c>
      <c r="E14">
        <v>1</v>
      </c>
      <c r="F14" t="s">
        <v>43</v>
      </c>
    </row>
    <row r="15" spans="1:6" x14ac:dyDescent="0.25">
      <c r="A15" t="s">
        <v>41</v>
      </c>
      <c r="B15" t="s">
        <v>52</v>
      </c>
      <c r="C15" t="s">
        <v>84</v>
      </c>
      <c r="D15" t="s">
        <v>42</v>
      </c>
      <c r="E15">
        <v>0</v>
      </c>
      <c r="F15" t="s">
        <v>43</v>
      </c>
    </row>
    <row r="16" spans="1:6" x14ac:dyDescent="0.25">
      <c r="A16" t="s">
        <v>41</v>
      </c>
      <c r="B16" t="s">
        <v>53</v>
      </c>
      <c r="C16" t="s">
        <v>84</v>
      </c>
      <c r="D16" t="s">
        <v>42</v>
      </c>
      <c r="E16">
        <v>0</v>
      </c>
      <c r="F16" t="s">
        <v>43</v>
      </c>
    </row>
    <row r="17" spans="1:6" x14ac:dyDescent="0.25">
      <c r="A17" t="s">
        <v>41</v>
      </c>
      <c r="B17" t="s">
        <v>54</v>
      </c>
      <c r="C17" t="s">
        <v>84</v>
      </c>
      <c r="D17" t="s">
        <v>42</v>
      </c>
      <c r="E17">
        <v>0</v>
      </c>
      <c r="F17" t="s">
        <v>43</v>
      </c>
    </row>
    <row r="18" spans="1:6" x14ac:dyDescent="0.25">
      <c r="A18" t="s">
        <v>41</v>
      </c>
      <c r="B18" t="s">
        <v>49</v>
      </c>
      <c r="C18" t="s">
        <v>84</v>
      </c>
      <c r="D18" t="s">
        <v>82</v>
      </c>
      <c r="E18">
        <v>0</v>
      </c>
      <c r="F18" t="s">
        <v>43</v>
      </c>
    </row>
    <row r="19" spans="1:6" x14ac:dyDescent="0.25">
      <c r="A19" t="s">
        <v>41</v>
      </c>
      <c r="B19" t="s">
        <v>50</v>
      </c>
      <c r="C19" t="s">
        <v>84</v>
      </c>
      <c r="D19" t="s">
        <v>83</v>
      </c>
      <c r="E19">
        <v>0</v>
      </c>
      <c r="F19" t="s">
        <v>43</v>
      </c>
    </row>
    <row r="20" spans="1:6" x14ac:dyDescent="0.25">
      <c r="A20" t="s">
        <v>41</v>
      </c>
      <c r="B20" t="s">
        <v>51</v>
      </c>
      <c r="C20" t="s">
        <v>84</v>
      </c>
      <c r="D20" t="s">
        <v>83</v>
      </c>
      <c r="E20">
        <v>0</v>
      </c>
      <c r="F20" t="s">
        <v>43</v>
      </c>
    </row>
    <row r="21" spans="1:6" x14ac:dyDescent="0.25">
      <c r="A21" t="s">
        <v>41</v>
      </c>
      <c r="B21" t="s">
        <v>58</v>
      </c>
      <c r="C21" t="s">
        <v>84</v>
      </c>
      <c r="D21" t="s">
        <v>83</v>
      </c>
      <c r="E21">
        <v>0</v>
      </c>
      <c r="F21" t="s">
        <v>43</v>
      </c>
    </row>
    <row r="22" spans="1:6" x14ac:dyDescent="0.25">
      <c r="A22" t="s">
        <v>41</v>
      </c>
      <c r="B22" t="s">
        <v>59</v>
      </c>
      <c r="C22" t="s">
        <v>84</v>
      </c>
      <c r="D22" t="s">
        <v>83</v>
      </c>
      <c r="E22">
        <v>0</v>
      </c>
      <c r="F22" t="s">
        <v>43</v>
      </c>
    </row>
    <row r="23" spans="1:6" x14ac:dyDescent="0.25">
      <c r="A23" t="s">
        <v>41</v>
      </c>
      <c r="B23" t="s">
        <v>60</v>
      </c>
      <c r="C23" t="s">
        <v>84</v>
      </c>
      <c r="D23" t="s">
        <v>83</v>
      </c>
      <c r="E23">
        <v>0</v>
      </c>
      <c r="F23" t="s">
        <v>43</v>
      </c>
    </row>
    <row r="24" spans="1:6" x14ac:dyDescent="0.25">
      <c r="A24" t="s">
        <v>41</v>
      </c>
      <c r="B24" t="s">
        <v>61</v>
      </c>
      <c r="C24" t="s">
        <v>84</v>
      </c>
      <c r="D24" t="s">
        <v>83</v>
      </c>
      <c r="E24">
        <v>0</v>
      </c>
      <c r="F24" t="s">
        <v>43</v>
      </c>
    </row>
    <row r="25" spans="1:6" x14ac:dyDescent="0.25">
      <c r="A25" t="s">
        <v>41</v>
      </c>
      <c r="B25" t="s">
        <v>62</v>
      </c>
      <c r="C25" t="s">
        <v>84</v>
      </c>
      <c r="D25" t="s">
        <v>83</v>
      </c>
      <c r="E25">
        <v>0</v>
      </c>
      <c r="F25" t="s">
        <v>43</v>
      </c>
    </row>
    <row r="26" spans="1:6" x14ac:dyDescent="0.25">
      <c r="A26" t="s">
        <v>41</v>
      </c>
      <c r="B26" t="s">
        <v>63</v>
      </c>
      <c r="C26" t="s">
        <v>84</v>
      </c>
      <c r="D26" t="s">
        <v>83</v>
      </c>
      <c r="E26">
        <v>0</v>
      </c>
      <c r="F26" t="s">
        <v>43</v>
      </c>
    </row>
    <row r="27" spans="1:6" x14ac:dyDescent="0.25">
      <c r="A27" t="s">
        <v>41</v>
      </c>
      <c r="B27" t="s">
        <v>64</v>
      </c>
      <c r="C27" t="s">
        <v>84</v>
      </c>
      <c r="D27" t="s">
        <v>82</v>
      </c>
      <c r="E27">
        <v>0</v>
      </c>
      <c r="F27" t="s">
        <v>43</v>
      </c>
    </row>
    <row r="28" spans="1:6" x14ac:dyDescent="0.25">
      <c r="A28" t="s">
        <v>41</v>
      </c>
      <c r="B28" t="s">
        <v>65</v>
      </c>
      <c r="C28" t="s">
        <v>84</v>
      </c>
      <c r="D28" t="s">
        <v>83</v>
      </c>
      <c r="E28">
        <v>0</v>
      </c>
      <c r="F28" t="s">
        <v>43</v>
      </c>
    </row>
    <row r="29" spans="1:6" x14ac:dyDescent="0.25">
      <c r="A29" t="s">
        <v>41</v>
      </c>
      <c r="B29" t="s">
        <v>76</v>
      </c>
      <c r="C29" t="s">
        <v>84</v>
      </c>
      <c r="D29" t="s">
        <v>82</v>
      </c>
      <c r="E29">
        <v>0</v>
      </c>
      <c r="F29" t="s">
        <v>43</v>
      </c>
    </row>
    <row r="30" spans="1:6" x14ac:dyDescent="0.25">
      <c r="A30" t="s">
        <v>41</v>
      </c>
      <c r="B30" t="s">
        <v>77</v>
      </c>
      <c r="C30" t="s">
        <v>84</v>
      </c>
      <c r="D30" t="s">
        <v>82</v>
      </c>
      <c r="E30">
        <v>0</v>
      </c>
      <c r="F30" t="s">
        <v>43</v>
      </c>
    </row>
    <row r="31" spans="1:6" x14ac:dyDescent="0.25">
      <c r="A31" t="s">
        <v>41</v>
      </c>
      <c r="B31" t="s">
        <v>78</v>
      </c>
      <c r="C31" t="s">
        <v>84</v>
      </c>
      <c r="D31" t="s">
        <v>82</v>
      </c>
      <c r="E31">
        <v>0</v>
      </c>
      <c r="F31" t="s">
        <v>43</v>
      </c>
    </row>
    <row r="32" spans="1:6" x14ac:dyDescent="0.25">
      <c r="A32" t="s">
        <v>41</v>
      </c>
      <c r="B32" t="s">
        <v>79</v>
      </c>
      <c r="C32" t="s">
        <v>84</v>
      </c>
      <c r="D32" t="s">
        <v>82</v>
      </c>
      <c r="E32">
        <v>0</v>
      </c>
      <c r="F32" t="s">
        <v>43</v>
      </c>
    </row>
    <row r="33" spans="1:6" x14ac:dyDescent="0.25">
      <c r="A33" t="s">
        <v>41</v>
      </c>
      <c r="B33" t="s">
        <v>80</v>
      </c>
      <c r="C33" t="s">
        <v>84</v>
      </c>
      <c r="D33" t="s">
        <v>82</v>
      </c>
      <c r="E33">
        <v>0</v>
      </c>
      <c r="F33" t="s">
        <v>43</v>
      </c>
    </row>
    <row r="34" spans="1:6" x14ac:dyDescent="0.25">
      <c r="A34" t="s">
        <v>41</v>
      </c>
      <c r="B34" t="s">
        <v>66</v>
      </c>
      <c r="C34" t="s">
        <v>84</v>
      </c>
      <c r="D34" t="s">
        <v>82</v>
      </c>
      <c r="E34">
        <v>0</v>
      </c>
      <c r="F34" t="s">
        <v>43</v>
      </c>
    </row>
    <row r="35" spans="1:6" x14ac:dyDescent="0.25">
      <c r="A35" t="s">
        <v>41</v>
      </c>
      <c r="B35" t="s">
        <v>67</v>
      </c>
      <c r="C35" t="s">
        <v>84</v>
      </c>
      <c r="D35" t="s">
        <v>42</v>
      </c>
      <c r="E35">
        <v>0</v>
      </c>
      <c r="F35" t="s">
        <v>43</v>
      </c>
    </row>
    <row r="36" spans="1:6" x14ac:dyDescent="0.25">
      <c r="A36" t="s">
        <v>41</v>
      </c>
      <c r="B36" t="s">
        <v>68</v>
      </c>
      <c r="C36" t="s">
        <v>84</v>
      </c>
      <c r="D36" t="s">
        <v>81</v>
      </c>
      <c r="E36">
        <v>0</v>
      </c>
      <c r="F36" t="s">
        <v>43</v>
      </c>
    </row>
    <row r="37" spans="1:6" x14ac:dyDescent="0.25">
      <c r="A37" t="s">
        <v>41</v>
      </c>
      <c r="B37" t="s">
        <v>69</v>
      </c>
      <c r="C37" t="s">
        <v>84</v>
      </c>
      <c r="D37" t="s">
        <v>42</v>
      </c>
      <c r="E37">
        <v>0</v>
      </c>
      <c r="F37" t="s">
        <v>43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7"/>
  <sheetViews>
    <sheetView tabSelected="1" zoomScaleNormal="100" workbookViewId="0">
      <pane xSplit="1" ySplit="1" topLeftCell="B2" activePane="bottomRight" state="frozenSplit"/>
      <selection pane="topRight" activeCell="G1" sqref="G1"/>
      <selection pane="bottomLeft" activeCell="A15" sqref="A15"/>
      <selection pane="bottomRight" activeCell="P13" sqref="P13"/>
    </sheetView>
  </sheetViews>
  <sheetFormatPr defaultRowHeight="15" x14ac:dyDescent="0.25"/>
  <cols>
    <col min="2" max="2" width="9.140625" style="1"/>
    <col min="3" max="3" width="12.85546875" customWidth="1"/>
    <col min="4" max="4" width="9.140625" style="1" bestFit="1" customWidth="1"/>
    <col min="5" max="5" width="4.28515625" style="1" bestFit="1" customWidth="1"/>
    <col min="6" max="6" width="9.5703125" style="1" bestFit="1" customWidth="1"/>
    <col min="7" max="7" width="7.28515625" style="1" bestFit="1" customWidth="1"/>
    <col min="8" max="8" width="5.140625" style="1" bestFit="1" customWidth="1"/>
    <col min="9" max="9" width="5.28515625" style="1" bestFit="1" customWidth="1"/>
    <col min="10" max="10" width="8.5703125" style="1" bestFit="1" customWidth="1"/>
    <col min="11" max="11" width="5.7109375" style="1" bestFit="1" customWidth="1"/>
    <col min="12" max="12" width="6.5703125" style="1" bestFit="1" customWidth="1"/>
    <col min="13" max="13" width="6.28515625" style="1" bestFit="1" customWidth="1"/>
  </cols>
  <sheetData>
    <row r="1" spans="1:14" x14ac:dyDescent="0.25">
      <c r="A1" t="s">
        <v>0</v>
      </c>
      <c r="B1" s="1" t="s">
        <v>6</v>
      </c>
      <c r="C1" t="s">
        <v>7</v>
      </c>
      <c r="D1" s="1" t="s">
        <v>10</v>
      </c>
      <c r="E1" s="1" t="s">
        <v>11</v>
      </c>
      <c r="F1" s="1" t="s">
        <v>12</v>
      </c>
      <c r="G1" s="1" t="s">
        <v>13</v>
      </c>
      <c r="H1" s="1" t="s">
        <v>14</v>
      </c>
      <c r="I1" s="1" t="s">
        <v>15</v>
      </c>
      <c r="J1" s="1" t="s">
        <v>16</v>
      </c>
      <c r="K1" s="1" t="s">
        <v>17</v>
      </c>
      <c r="L1" s="1" t="s">
        <v>18</v>
      </c>
      <c r="M1" s="1" t="s">
        <v>19</v>
      </c>
    </row>
    <row r="2" spans="1:14" x14ac:dyDescent="0.25">
      <c r="A2" t="s">
        <v>1</v>
      </c>
      <c r="B2" s="1">
        <v>5</v>
      </c>
      <c r="C2" t="s">
        <v>8</v>
      </c>
      <c r="D2" s="1">
        <v>2</v>
      </c>
      <c r="E2" s="1">
        <v>2</v>
      </c>
      <c r="F2" s="1">
        <v>4</v>
      </c>
      <c r="G2" s="1">
        <v>2</v>
      </c>
      <c r="H2" s="1">
        <v>1</v>
      </c>
      <c r="I2" s="1">
        <v>2</v>
      </c>
      <c r="J2" s="1">
        <v>2</v>
      </c>
      <c r="K2" s="1">
        <v>4</v>
      </c>
      <c r="L2" s="1">
        <v>2</v>
      </c>
      <c r="M2" s="1">
        <v>1</v>
      </c>
      <c r="N2">
        <f>SUM(D2:M2)</f>
        <v>22</v>
      </c>
    </row>
    <row r="3" spans="1:14" x14ac:dyDescent="0.25">
      <c r="A3" t="s">
        <v>2</v>
      </c>
      <c r="B3" s="1">
        <v>4</v>
      </c>
      <c r="C3" t="s">
        <v>8</v>
      </c>
      <c r="D3" s="1">
        <v>3</v>
      </c>
      <c r="E3" s="1">
        <v>3</v>
      </c>
      <c r="F3" s="1">
        <v>1</v>
      </c>
      <c r="G3" s="1">
        <v>2</v>
      </c>
      <c r="H3" s="1">
        <v>4</v>
      </c>
      <c r="I3" s="1">
        <v>1</v>
      </c>
      <c r="J3" s="1">
        <v>1</v>
      </c>
      <c r="K3" s="1">
        <v>1</v>
      </c>
      <c r="L3" s="1">
        <v>1</v>
      </c>
      <c r="M3" s="1">
        <v>4</v>
      </c>
      <c r="N3">
        <f t="shared" ref="N3:N7" si="0">SUM(D3:M3)</f>
        <v>21</v>
      </c>
    </row>
    <row r="4" spans="1:14" x14ac:dyDescent="0.25">
      <c r="A4" t="s">
        <v>3</v>
      </c>
      <c r="B4" s="1">
        <v>4</v>
      </c>
      <c r="C4" t="s">
        <v>9</v>
      </c>
      <c r="D4" s="1">
        <v>2</v>
      </c>
      <c r="E4" s="1">
        <v>1</v>
      </c>
      <c r="F4" s="1">
        <v>4</v>
      </c>
      <c r="G4" s="1">
        <v>1</v>
      </c>
      <c r="H4" s="1">
        <v>4</v>
      </c>
      <c r="I4" s="1">
        <v>1</v>
      </c>
      <c r="J4" s="1">
        <v>4</v>
      </c>
      <c r="K4" s="1">
        <v>1</v>
      </c>
      <c r="L4" s="1">
        <v>1</v>
      </c>
      <c r="M4" s="1">
        <v>3</v>
      </c>
      <c r="N4">
        <f t="shared" si="0"/>
        <v>22</v>
      </c>
    </row>
    <row r="5" spans="1:14" x14ac:dyDescent="0.25">
      <c r="A5" t="s">
        <v>4</v>
      </c>
      <c r="B5" s="1">
        <v>5</v>
      </c>
      <c r="C5" t="s">
        <v>8</v>
      </c>
      <c r="D5" s="1">
        <v>1</v>
      </c>
      <c r="E5" s="1">
        <v>4</v>
      </c>
      <c r="F5" s="1">
        <v>1</v>
      </c>
      <c r="G5" s="1">
        <v>4</v>
      </c>
      <c r="H5" s="1">
        <v>1</v>
      </c>
      <c r="I5" s="1">
        <v>2</v>
      </c>
      <c r="J5" s="1">
        <v>1</v>
      </c>
      <c r="K5" s="1">
        <v>3</v>
      </c>
      <c r="L5" s="1">
        <v>2</v>
      </c>
      <c r="M5" s="1">
        <v>3</v>
      </c>
      <c r="N5">
        <f t="shared" si="0"/>
        <v>22</v>
      </c>
    </row>
    <row r="6" spans="1:14" x14ac:dyDescent="0.25">
      <c r="A6" t="s">
        <v>359</v>
      </c>
      <c r="B6" s="1">
        <v>3</v>
      </c>
      <c r="C6" t="s">
        <v>8</v>
      </c>
      <c r="D6" s="1">
        <v>3</v>
      </c>
      <c r="E6" s="1">
        <v>1</v>
      </c>
      <c r="F6" s="1">
        <v>4</v>
      </c>
      <c r="G6" s="1">
        <v>1</v>
      </c>
      <c r="H6" s="1">
        <v>4</v>
      </c>
      <c r="I6" s="1">
        <v>3</v>
      </c>
      <c r="J6" s="1">
        <v>2</v>
      </c>
      <c r="K6" s="1">
        <v>1</v>
      </c>
      <c r="L6" s="1">
        <v>1</v>
      </c>
      <c r="M6" s="1">
        <v>2</v>
      </c>
      <c r="N6">
        <f t="shared" si="0"/>
        <v>22</v>
      </c>
    </row>
    <row r="7" spans="1:14" x14ac:dyDescent="0.25">
      <c r="A7" t="s">
        <v>5</v>
      </c>
      <c r="B7" s="1">
        <v>4</v>
      </c>
      <c r="C7" t="s">
        <v>9</v>
      </c>
      <c r="D7" s="1">
        <v>2</v>
      </c>
      <c r="E7" s="1">
        <v>4</v>
      </c>
      <c r="F7" s="1">
        <v>1</v>
      </c>
      <c r="G7" s="1">
        <v>1</v>
      </c>
      <c r="H7" s="1">
        <v>1</v>
      </c>
      <c r="I7" s="1">
        <v>4</v>
      </c>
      <c r="J7" s="1">
        <v>3</v>
      </c>
      <c r="K7" s="1">
        <v>3</v>
      </c>
      <c r="L7" s="1">
        <v>2</v>
      </c>
      <c r="M7" s="1">
        <v>1</v>
      </c>
      <c r="N7">
        <f t="shared" si="0"/>
        <v>22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9"/>
  <sheetViews>
    <sheetView workbookViewId="0">
      <selection activeCell="D3" sqref="D3"/>
    </sheetView>
  </sheetViews>
  <sheetFormatPr defaultRowHeight="15" x14ac:dyDescent="0.25"/>
  <cols>
    <col min="1" max="1" width="14.5703125" customWidth="1"/>
    <col min="2" max="2" width="13.85546875" customWidth="1"/>
    <col min="3" max="3" width="21.7109375" customWidth="1"/>
    <col min="4" max="4" width="54.42578125" customWidth="1"/>
  </cols>
  <sheetData>
    <row r="1" spans="1:4" x14ac:dyDescent="0.25">
      <c r="A1" t="s">
        <v>20</v>
      </c>
      <c r="B1" t="s">
        <v>21</v>
      </c>
      <c r="C1" t="s">
        <v>34</v>
      </c>
      <c r="D1" t="s">
        <v>35</v>
      </c>
    </row>
    <row r="2" spans="1:4" x14ac:dyDescent="0.25">
      <c r="A2" t="s">
        <v>22</v>
      </c>
      <c r="B2" t="s">
        <v>26</v>
      </c>
      <c r="C2" t="s">
        <v>36</v>
      </c>
      <c r="D2" t="s">
        <v>40</v>
      </c>
    </row>
    <row r="3" spans="1:4" x14ac:dyDescent="0.25">
      <c r="A3" t="s">
        <v>22</v>
      </c>
      <c r="B3" t="s">
        <v>27</v>
      </c>
      <c r="C3" t="s">
        <v>36</v>
      </c>
    </row>
    <row r="4" spans="1:4" x14ac:dyDescent="0.25">
      <c r="A4" t="s">
        <v>23</v>
      </c>
      <c r="B4" t="s">
        <v>28</v>
      </c>
      <c r="C4" t="s">
        <v>37</v>
      </c>
    </row>
    <row r="5" spans="1:4" x14ac:dyDescent="0.25">
      <c r="A5" t="s">
        <v>23</v>
      </c>
      <c r="B5" t="s">
        <v>29</v>
      </c>
      <c r="C5" t="s">
        <v>37</v>
      </c>
    </row>
    <row r="6" spans="1:4" x14ac:dyDescent="0.25">
      <c r="A6" t="s">
        <v>24</v>
      </c>
      <c r="B6" t="s">
        <v>30</v>
      </c>
      <c r="C6" t="s">
        <v>38</v>
      </c>
    </row>
    <row r="7" spans="1:4" x14ac:dyDescent="0.25">
      <c r="A7" t="s">
        <v>24</v>
      </c>
      <c r="B7" t="s">
        <v>31</v>
      </c>
      <c r="C7" t="s">
        <v>38</v>
      </c>
    </row>
    <row r="8" spans="1:4" x14ac:dyDescent="0.25">
      <c r="A8" t="s">
        <v>25</v>
      </c>
      <c r="B8" t="s">
        <v>32</v>
      </c>
      <c r="C8" t="s">
        <v>39</v>
      </c>
    </row>
    <row r="9" spans="1:4" x14ac:dyDescent="0.25">
      <c r="A9" t="s">
        <v>25</v>
      </c>
      <c r="B9" t="s">
        <v>33</v>
      </c>
      <c r="C9" t="s">
        <v>39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54"/>
  <sheetViews>
    <sheetView zoomScale="80" zoomScaleNormal="80" workbookViewId="0">
      <pane ySplit="1" topLeftCell="A2" activePane="bottomLeft" state="frozen"/>
      <selection pane="bottomLeft" activeCell="D16" sqref="D16"/>
    </sheetView>
  </sheetViews>
  <sheetFormatPr defaultRowHeight="15" x14ac:dyDescent="0.25"/>
  <cols>
    <col min="1" max="1" width="28.28515625" bestFit="1" customWidth="1"/>
    <col min="3" max="3" width="5.7109375" style="3" customWidth="1"/>
    <col min="4" max="9" width="24.42578125" style="2" customWidth="1"/>
    <col min="10" max="13" width="24.42578125" customWidth="1"/>
  </cols>
  <sheetData>
    <row r="1" spans="1:13" x14ac:dyDescent="0.25">
      <c r="D1" s="1">
        <v>1</v>
      </c>
      <c r="E1" s="1">
        <v>2</v>
      </c>
      <c r="F1" s="1">
        <v>3</v>
      </c>
      <c r="G1" s="1">
        <v>4</v>
      </c>
      <c r="H1" s="1">
        <v>5</v>
      </c>
      <c r="I1" s="1">
        <v>6</v>
      </c>
      <c r="J1" s="1">
        <v>7</v>
      </c>
      <c r="K1" s="1">
        <v>8</v>
      </c>
      <c r="L1" s="1">
        <v>9</v>
      </c>
      <c r="M1" s="1">
        <v>10</v>
      </c>
    </row>
    <row r="2" spans="1:13" x14ac:dyDescent="0.25">
      <c r="A2" t="s">
        <v>10</v>
      </c>
      <c r="B2" t="s">
        <v>96</v>
      </c>
      <c r="C2" s="3" t="s">
        <v>100</v>
      </c>
      <c r="D2" s="2" t="s">
        <v>182</v>
      </c>
    </row>
    <row r="3" spans="1:13" x14ac:dyDescent="0.25">
      <c r="A3" t="s">
        <v>11</v>
      </c>
      <c r="B3" t="s">
        <v>96</v>
      </c>
      <c r="C3" s="3" t="s">
        <v>101</v>
      </c>
      <c r="D3" s="2" t="s">
        <v>182</v>
      </c>
    </row>
    <row r="4" spans="1:13" x14ac:dyDescent="0.25">
      <c r="A4" t="s">
        <v>12</v>
      </c>
      <c r="B4" t="s">
        <v>96</v>
      </c>
      <c r="C4" s="3" t="s">
        <v>102</v>
      </c>
      <c r="D4" s="2" t="s">
        <v>182</v>
      </c>
    </row>
    <row r="5" spans="1:13" x14ac:dyDescent="0.25">
      <c r="A5" t="s">
        <v>13</v>
      </c>
      <c r="B5" t="s">
        <v>97</v>
      </c>
      <c r="C5" s="3" t="s">
        <v>103</v>
      </c>
      <c r="D5" t="s">
        <v>350</v>
      </c>
      <c r="E5" t="s">
        <v>351</v>
      </c>
      <c r="F5" t="s">
        <v>217</v>
      </c>
      <c r="G5" s="2" t="s">
        <v>355</v>
      </c>
      <c r="H5" t="s">
        <v>218</v>
      </c>
      <c r="I5" t="s">
        <v>356</v>
      </c>
      <c r="J5" t="s">
        <v>219</v>
      </c>
      <c r="K5" t="s">
        <v>354</v>
      </c>
      <c r="L5" t="s">
        <v>353</v>
      </c>
      <c r="M5" t="s">
        <v>352</v>
      </c>
    </row>
    <row r="6" spans="1:13" x14ac:dyDescent="0.25">
      <c r="A6" t="s">
        <v>14</v>
      </c>
      <c r="B6" t="s">
        <v>97</v>
      </c>
      <c r="C6" s="3" t="s">
        <v>104</v>
      </c>
      <c r="D6" t="s">
        <v>220</v>
      </c>
      <c r="E6"/>
      <c r="F6" t="s">
        <v>221</v>
      </c>
      <c r="G6"/>
      <c r="H6" t="s">
        <v>222</v>
      </c>
      <c r="I6"/>
      <c r="J6" t="s">
        <v>223</v>
      </c>
      <c r="L6" t="s">
        <v>224</v>
      </c>
    </row>
    <row r="7" spans="1:13" x14ac:dyDescent="0.25">
      <c r="A7" t="s">
        <v>15</v>
      </c>
      <c r="B7" t="s">
        <v>97</v>
      </c>
      <c r="C7" s="3" t="s">
        <v>105</v>
      </c>
      <c r="D7" t="s">
        <v>225</v>
      </c>
      <c r="E7"/>
      <c r="F7" t="s">
        <v>226</v>
      </c>
      <c r="G7"/>
      <c r="H7" t="s">
        <v>227</v>
      </c>
      <c r="I7"/>
      <c r="J7" t="s">
        <v>228</v>
      </c>
      <c r="L7" t="s">
        <v>229</v>
      </c>
    </row>
    <row r="8" spans="1:13" x14ac:dyDescent="0.25">
      <c r="A8" t="s">
        <v>16</v>
      </c>
      <c r="B8" t="s">
        <v>97</v>
      </c>
      <c r="C8" s="3" t="s">
        <v>106</v>
      </c>
      <c r="D8" t="s">
        <v>230</v>
      </c>
      <c r="E8"/>
      <c r="F8" t="s">
        <v>231</v>
      </c>
      <c r="G8"/>
      <c r="H8" t="s">
        <v>232</v>
      </c>
      <c r="I8"/>
      <c r="J8" t="s">
        <v>233</v>
      </c>
      <c r="L8" t="s">
        <v>234</v>
      </c>
    </row>
    <row r="9" spans="1:13" x14ac:dyDescent="0.25">
      <c r="A9" t="s">
        <v>17</v>
      </c>
      <c r="B9" t="s">
        <v>97</v>
      </c>
      <c r="C9" s="3" t="s">
        <v>107</v>
      </c>
      <c r="D9" t="s">
        <v>235</v>
      </c>
      <c r="E9"/>
      <c r="F9" t="s">
        <v>236</v>
      </c>
      <c r="G9"/>
      <c r="H9" t="s">
        <v>237</v>
      </c>
      <c r="I9"/>
      <c r="J9" t="s">
        <v>238</v>
      </c>
      <c r="L9" t="s">
        <v>239</v>
      </c>
    </row>
    <row r="10" spans="1:13" x14ac:dyDescent="0.25">
      <c r="A10" t="s">
        <v>18</v>
      </c>
      <c r="B10" t="s">
        <v>97</v>
      </c>
      <c r="C10" s="3" t="s">
        <v>108</v>
      </c>
      <c r="D10" t="s">
        <v>240</v>
      </c>
      <c r="E10"/>
      <c r="F10" t="s">
        <v>241</v>
      </c>
      <c r="G10"/>
      <c r="H10" t="s">
        <v>242</v>
      </c>
      <c r="I10"/>
      <c r="J10" t="s">
        <v>243</v>
      </c>
      <c r="L10" t="s">
        <v>244</v>
      </c>
    </row>
    <row r="11" spans="1:13" x14ac:dyDescent="0.25">
      <c r="A11" t="s">
        <v>19</v>
      </c>
      <c r="B11" t="s">
        <v>97</v>
      </c>
      <c r="C11" s="3" t="s">
        <v>109</v>
      </c>
      <c r="D11" t="s">
        <v>245</v>
      </c>
      <c r="E11"/>
      <c r="F11" t="s">
        <v>348</v>
      </c>
      <c r="G11"/>
      <c r="H11" t="s">
        <v>347</v>
      </c>
      <c r="I11"/>
      <c r="J11" t="s">
        <v>349</v>
      </c>
      <c r="L11" t="s">
        <v>346</v>
      </c>
    </row>
    <row r="12" spans="1:13" x14ac:dyDescent="0.25">
      <c r="A12" t="s">
        <v>44</v>
      </c>
      <c r="B12" t="s">
        <v>98</v>
      </c>
      <c r="C12" s="3" t="s">
        <v>110</v>
      </c>
      <c r="D12" t="s">
        <v>246</v>
      </c>
      <c r="E12"/>
      <c r="F12" t="s">
        <v>247</v>
      </c>
      <c r="G12"/>
      <c r="H12" t="s">
        <v>248</v>
      </c>
      <c r="I12"/>
      <c r="J12" t="s">
        <v>249</v>
      </c>
      <c r="L12" t="s">
        <v>250</v>
      </c>
    </row>
    <row r="13" spans="1:13" x14ac:dyDescent="0.25">
      <c r="A13" t="s">
        <v>45</v>
      </c>
      <c r="B13" t="s">
        <v>98</v>
      </c>
      <c r="C13" s="3" t="s">
        <v>111</v>
      </c>
      <c r="D13" t="s">
        <v>246</v>
      </c>
      <c r="E13"/>
      <c r="F13" t="s">
        <v>251</v>
      </c>
      <c r="G13"/>
      <c r="H13" t="s">
        <v>252</v>
      </c>
      <c r="I13"/>
      <c r="J13" t="s">
        <v>253</v>
      </c>
      <c r="L13" t="s">
        <v>250</v>
      </c>
    </row>
    <row r="14" spans="1:13" x14ac:dyDescent="0.25">
      <c r="A14" t="s">
        <v>46</v>
      </c>
      <c r="B14" t="s">
        <v>98</v>
      </c>
      <c r="C14" s="3" t="s">
        <v>112</v>
      </c>
      <c r="D14" t="s">
        <v>254</v>
      </c>
      <c r="E14"/>
      <c r="F14" t="s">
        <v>255</v>
      </c>
      <c r="G14"/>
      <c r="H14" t="s">
        <v>256</v>
      </c>
      <c r="I14"/>
      <c r="J14" t="s">
        <v>257</v>
      </c>
      <c r="L14" t="s">
        <v>357</v>
      </c>
    </row>
    <row r="15" spans="1:13" x14ac:dyDescent="0.25">
      <c r="A15" t="s">
        <v>47</v>
      </c>
      <c r="B15" t="s">
        <v>98</v>
      </c>
      <c r="C15" s="3" t="s">
        <v>113</v>
      </c>
      <c r="D15" t="s">
        <v>358</v>
      </c>
      <c r="E15"/>
      <c r="F15" t="s">
        <v>258</v>
      </c>
      <c r="G15"/>
      <c r="H15" t="s">
        <v>259</v>
      </c>
      <c r="I15"/>
      <c r="J15" t="s">
        <v>260</v>
      </c>
      <c r="L15" t="s">
        <v>261</v>
      </c>
    </row>
    <row r="16" spans="1:13" x14ac:dyDescent="0.25">
      <c r="A16" t="s">
        <v>48</v>
      </c>
      <c r="B16" t="s">
        <v>98</v>
      </c>
      <c r="C16" s="3" t="s">
        <v>114</v>
      </c>
      <c r="D16" t="s">
        <v>262</v>
      </c>
      <c r="E16"/>
      <c r="F16" t="s">
        <v>263</v>
      </c>
      <c r="G16"/>
      <c r="H16" t="s">
        <v>264</v>
      </c>
      <c r="I16"/>
      <c r="J16" t="s">
        <v>265</v>
      </c>
      <c r="L16" t="s">
        <v>266</v>
      </c>
    </row>
    <row r="17" spans="1:13" x14ac:dyDescent="0.25">
      <c r="A17" t="s">
        <v>70</v>
      </c>
      <c r="B17" t="s">
        <v>98</v>
      </c>
      <c r="C17" s="3" t="s">
        <v>115</v>
      </c>
      <c r="D17" t="s">
        <v>267</v>
      </c>
      <c r="E17"/>
      <c r="F17" t="s">
        <v>268</v>
      </c>
      <c r="G17"/>
      <c r="H17" t="s">
        <v>269</v>
      </c>
      <c r="I17"/>
      <c r="J17" t="s">
        <v>270</v>
      </c>
      <c r="L17" t="s">
        <v>271</v>
      </c>
    </row>
    <row r="18" spans="1:13" x14ac:dyDescent="0.25">
      <c r="A18" t="s">
        <v>71</v>
      </c>
      <c r="B18" t="s">
        <v>98</v>
      </c>
      <c r="C18" s="3" t="s">
        <v>116</v>
      </c>
      <c r="D18" t="s">
        <v>272</v>
      </c>
      <c r="E18"/>
      <c r="F18" t="s">
        <v>273</v>
      </c>
      <c r="G18"/>
      <c r="H18" t="s">
        <v>274</v>
      </c>
      <c r="I18"/>
      <c r="J18" t="s">
        <v>275</v>
      </c>
      <c r="L18" t="s">
        <v>276</v>
      </c>
    </row>
    <row r="19" spans="1:13" x14ac:dyDescent="0.25">
      <c r="A19" t="s">
        <v>85</v>
      </c>
      <c r="B19" t="s">
        <v>98</v>
      </c>
      <c r="C19" s="3" t="s">
        <v>117</v>
      </c>
      <c r="D19" t="s">
        <v>246</v>
      </c>
      <c r="E19"/>
      <c r="F19" t="s">
        <v>277</v>
      </c>
      <c r="G19"/>
      <c r="H19" t="s">
        <v>278</v>
      </c>
      <c r="I19"/>
      <c r="J19" t="s">
        <v>279</v>
      </c>
      <c r="L19" t="s">
        <v>271</v>
      </c>
    </row>
    <row r="20" spans="1:13" x14ac:dyDescent="0.25">
      <c r="A20" t="s">
        <v>73</v>
      </c>
      <c r="B20" t="s">
        <v>98</v>
      </c>
      <c r="C20" s="3" t="s">
        <v>118</v>
      </c>
      <c r="D20" t="s">
        <v>246</v>
      </c>
      <c r="E20"/>
      <c r="F20" t="s">
        <v>280</v>
      </c>
      <c r="G20"/>
      <c r="H20" t="s">
        <v>281</v>
      </c>
      <c r="I20"/>
      <c r="J20" t="s">
        <v>282</v>
      </c>
      <c r="L20" t="s">
        <v>271</v>
      </c>
    </row>
    <row r="21" spans="1:13" x14ac:dyDescent="0.25">
      <c r="A21" t="s">
        <v>74</v>
      </c>
      <c r="B21" t="s">
        <v>98</v>
      </c>
      <c r="C21" s="3" t="s">
        <v>119</v>
      </c>
      <c r="D21" t="s">
        <v>246</v>
      </c>
      <c r="E21"/>
      <c r="F21" t="s">
        <v>283</v>
      </c>
      <c r="G21"/>
      <c r="H21" t="s">
        <v>284</v>
      </c>
      <c r="I21"/>
      <c r="J21" t="s">
        <v>285</v>
      </c>
      <c r="L21" t="s">
        <v>286</v>
      </c>
    </row>
    <row r="22" spans="1:13" x14ac:dyDescent="0.25">
      <c r="A22" t="s">
        <v>75</v>
      </c>
      <c r="B22" t="s">
        <v>98</v>
      </c>
      <c r="C22" s="3" t="s">
        <v>120</v>
      </c>
      <c r="D22" t="s">
        <v>287</v>
      </c>
      <c r="E22"/>
      <c r="F22" t="s">
        <v>288</v>
      </c>
      <c r="G22"/>
      <c r="H22" t="s">
        <v>289</v>
      </c>
      <c r="I22"/>
      <c r="J22" t="s">
        <v>290</v>
      </c>
      <c r="L22" t="s">
        <v>271</v>
      </c>
    </row>
    <row r="23" spans="1:13" x14ac:dyDescent="0.25">
      <c r="A23" t="s">
        <v>55</v>
      </c>
      <c r="B23" t="s">
        <v>98</v>
      </c>
      <c r="C23" s="3" t="s">
        <v>121</v>
      </c>
      <c r="D23" s="2" t="s">
        <v>153</v>
      </c>
      <c r="F23" s="2" t="s">
        <v>154</v>
      </c>
      <c r="H23" s="2" t="s">
        <v>155</v>
      </c>
      <c r="J23" s="2" t="s">
        <v>156</v>
      </c>
      <c r="L23" s="2" t="s">
        <v>157</v>
      </c>
      <c r="M23" s="2"/>
    </row>
    <row r="24" spans="1:13" x14ac:dyDescent="0.25">
      <c r="A24" t="s">
        <v>56</v>
      </c>
      <c r="B24" t="s">
        <v>98</v>
      </c>
      <c r="C24" s="3" t="s">
        <v>122</v>
      </c>
      <c r="D24" s="2" t="s">
        <v>158</v>
      </c>
      <c r="F24" s="2" t="s">
        <v>159</v>
      </c>
      <c r="H24" s="2" t="s">
        <v>160</v>
      </c>
      <c r="J24" s="2" t="s">
        <v>161</v>
      </c>
      <c r="L24" s="2" t="s">
        <v>162</v>
      </c>
      <c r="M24" s="2"/>
    </row>
    <row r="25" spans="1:13" x14ac:dyDescent="0.25">
      <c r="A25" t="s">
        <v>57</v>
      </c>
      <c r="B25" t="s">
        <v>98</v>
      </c>
      <c r="C25" s="3" t="s">
        <v>123</v>
      </c>
      <c r="D25" s="2" t="s">
        <v>163</v>
      </c>
      <c r="F25" s="2" t="s">
        <v>164</v>
      </c>
      <c r="H25" s="2" t="s">
        <v>165</v>
      </c>
      <c r="J25" s="2" t="s">
        <v>166</v>
      </c>
      <c r="L25" s="2" t="s">
        <v>167</v>
      </c>
      <c r="M25" s="2"/>
    </row>
    <row r="26" spans="1:13" x14ac:dyDescent="0.25">
      <c r="A26" t="s">
        <v>86</v>
      </c>
      <c r="B26" t="s">
        <v>98</v>
      </c>
      <c r="C26" s="3" t="s">
        <v>124</v>
      </c>
      <c r="D26" s="2" t="s">
        <v>168</v>
      </c>
      <c r="F26" s="2" t="s">
        <v>169</v>
      </c>
      <c r="H26" s="2" t="s">
        <v>170</v>
      </c>
      <c r="J26" s="2" t="s">
        <v>171</v>
      </c>
      <c r="L26" s="2" t="s">
        <v>172</v>
      </c>
      <c r="M26" s="2"/>
    </row>
    <row r="27" spans="1:13" x14ac:dyDescent="0.25">
      <c r="A27" t="s">
        <v>53</v>
      </c>
      <c r="B27" t="s">
        <v>98</v>
      </c>
      <c r="C27" s="3" t="s">
        <v>125</v>
      </c>
      <c r="D27" s="2" t="s">
        <v>168</v>
      </c>
      <c r="F27" s="2" t="s">
        <v>173</v>
      </c>
      <c r="H27" s="2" t="s">
        <v>174</v>
      </c>
      <c r="J27" s="2" t="s">
        <v>175</v>
      </c>
      <c r="L27" s="2" t="s">
        <v>176</v>
      </c>
      <c r="M27" s="2"/>
    </row>
    <row r="28" spans="1:13" x14ac:dyDescent="0.25">
      <c r="A28" t="s">
        <v>54</v>
      </c>
      <c r="B28" t="s">
        <v>98</v>
      </c>
      <c r="C28" s="3" t="s">
        <v>126</v>
      </c>
      <c r="D28" s="2" t="s">
        <v>177</v>
      </c>
      <c r="F28" s="2" t="s">
        <v>178</v>
      </c>
      <c r="H28" s="2" t="s">
        <v>179</v>
      </c>
      <c r="J28" s="2" t="s">
        <v>180</v>
      </c>
      <c r="L28" s="2" t="s">
        <v>181</v>
      </c>
      <c r="M28" s="2"/>
    </row>
    <row r="29" spans="1:13" x14ac:dyDescent="0.25">
      <c r="A29" t="s">
        <v>49</v>
      </c>
      <c r="B29" t="s">
        <v>98</v>
      </c>
      <c r="C29" s="3" t="s">
        <v>134</v>
      </c>
      <c r="D29" s="2" t="s">
        <v>183</v>
      </c>
      <c r="F29" s="2" t="s">
        <v>185</v>
      </c>
      <c r="H29" s="2" t="s">
        <v>339</v>
      </c>
      <c r="J29" s="2" t="s">
        <v>186</v>
      </c>
      <c r="L29" s="2" t="s">
        <v>184</v>
      </c>
    </row>
    <row r="30" spans="1:13" x14ac:dyDescent="0.25">
      <c r="A30" t="s">
        <v>50</v>
      </c>
      <c r="B30" t="s">
        <v>98</v>
      </c>
      <c r="C30" s="3" t="s">
        <v>135</v>
      </c>
      <c r="D30" s="2" t="s">
        <v>188</v>
      </c>
      <c r="F30" s="2" t="s">
        <v>187</v>
      </c>
      <c r="H30" s="2" t="s">
        <v>189</v>
      </c>
      <c r="J30" s="2" t="s">
        <v>190</v>
      </c>
      <c r="L30" s="2" t="s">
        <v>191</v>
      </c>
    </row>
    <row r="31" spans="1:13" x14ac:dyDescent="0.25">
      <c r="A31" t="s">
        <v>51</v>
      </c>
      <c r="B31" t="s">
        <v>98</v>
      </c>
      <c r="C31" s="3" t="s">
        <v>127</v>
      </c>
      <c r="D31" s="2" t="s">
        <v>193</v>
      </c>
      <c r="F31" s="2" t="s">
        <v>194</v>
      </c>
      <c r="H31" s="2" t="s">
        <v>192</v>
      </c>
      <c r="J31" s="2" t="s">
        <v>195</v>
      </c>
      <c r="L31" s="2" t="s">
        <v>196</v>
      </c>
    </row>
    <row r="32" spans="1:13" x14ac:dyDescent="0.25">
      <c r="A32" t="s">
        <v>58</v>
      </c>
      <c r="B32" t="s">
        <v>98</v>
      </c>
      <c r="C32" s="3" t="s">
        <v>128</v>
      </c>
      <c r="D32" s="2" t="s">
        <v>197</v>
      </c>
      <c r="F32" s="2" t="s">
        <v>198</v>
      </c>
      <c r="H32" s="2" t="s">
        <v>199</v>
      </c>
      <c r="J32" s="2" t="s">
        <v>340</v>
      </c>
      <c r="L32" s="2" t="s">
        <v>200</v>
      </c>
    </row>
    <row r="33" spans="1:12" x14ac:dyDescent="0.25">
      <c r="A33" t="s">
        <v>59</v>
      </c>
      <c r="B33" t="s">
        <v>98</v>
      </c>
      <c r="C33" s="3" t="s">
        <v>129</v>
      </c>
      <c r="D33" s="2" t="s">
        <v>201</v>
      </c>
      <c r="F33" s="2" t="s">
        <v>341</v>
      </c>
      <c r="H33" s="2" t="s">
        <v>203</v>
      </c>
      <c r="I33"/>
      <c r="J33" s="2" t="s">
        <v>204</v>
      </c>
      <c r="L33" s="2" t="s">
        <v>206</v>
      </c>
    </row>
    <row r="34" spans="1:12" x14ac:dyDescent="0.25">
      <c r="A34" t="s">
        <v>60</v>
      </c>
      <c r="B34" t="s">
        <v>98</v>
      </c>
      <c r="C34" s="3" t="s">
        <v>130</v>
      </c>
      <c r="D34" s="2" t="s">
        <v>205</v>
      </c>
      <c r="F34" s="2" t="s">
        <v>208</v>
      </c>
      <c r="H34" s="2" t="s">
        <v>207</v>
      </c>
      <c r="J34" s="2" t="s">
        <v>342</v>
      </c>
      <c r="L34" s="2" t="s">
        <v>202</v>
      </c>
    </row>
    <row r="35" spans="1:12" x14ac:dyDescent="0.25">
      <c r="A35" t="s">
        <v>87</v>
      </c>
      <c r="B35" t="s">
        <v>98</v>
      </c>
      <c r="C35" s="3" t="s">
        <v>131</v>
      </c>
      <c r="D35" s="2" t="s">
        <v>209</v>
      </c>
      <c r="F35" s="2" t="s">
        <v>210</v>
      </c>
      <c r="H35" s="2" t="s">
        <v>211</v>
      </c>
      <c r="J35" s="2" t="s">
        <v>343</v>
      </c>
      <c r="L35" s="2" t="s">
        <v>212</v>
      </c>
    </row>
    <row r="36" spans="1:12" x14ac:dyDescent="0.25">
      <c r="A36" t="s">
        <v>62</v>
      </c>
      <c r="B36" t="s">
        <v>98</v>
      </c>
      <c r="C36" s="3" t="s">
        <v>132</v>
      </c>
      <c r="D36" s="2" t="s">
        <v>213</v>
      </c>
      <c r="F36" s="2" t="s">
        <v>214</v>
      </c>
      <c r="H36" s="2" t="s">
        <v>344</v>
      </c>
      <c r="J36" s="2" t="s">
        <v>345</v>
      </c>
      <c r="L36" s="2" t="s">
        <v>215</v>
      </c>
    </row>
    <row r="37" spans="1:12" x14ac:dyDescent="0.25">
      <c r="A37" t="s">
        <v>63</v>
      </c>
      <c r="B37" t="s">
        <v>98</v>
      </c>
      <c r="C37" s="3" t="s">
        <v>133</v>
      </c>
      <c r="D37" t="s">
        <v>216</v>
      </c>
      <c r="E37"/>
      <c r="F37" t="s">
        <v>291</v>
      </c>
      <c r="G37"/>
      <c r="H37" t="s">
        <v>292</v>
      </c>
      <c r="I37"/>
      <c r="J37" t="s">
        <v>293</v>
      </c>
      <c r="L37" t="s">
        <v>294</v>
      </c>
    </row>
    <row r="38" spans="1:12" x14ac:dyDescent="0.25">
      <c r="A38" t="s">
        <v>64</v>
      </c>
      <c r="B38" t="s">
        <v>98</v>
      </c>
      <c r="C38" s="3" t="s">
        <v>136</v>
      </c>
      <c r="D38" t="s">
        <v>295</v>
      </c>
      <c r="E38"/>
      <c r="F38" t="s">
        <v>296</v>
      </c>
      <c r="G38"/>
      <c r="H38" t="s">
        <v>297</v>
      </c>
      <c r="I38"/>
      <c r="J38" t="s">
        <v>298</v>
      </c>
      <c r="L38" t="s">
        <v>271</v>
      </c>
    </row>
    <row r="39" spans="1:12" x14ac:dyDescent="0.25">
      <c r="A39" t="s">
        <v>65</v>
      </c>
      <c r="B39" t="s">
        <v>98</v>
      </c>
      <c r="C39" s="3" t="s">
        <v>137</v>
      </c>
      <c r="D39" t="s">
        <v>299</v>
      </c>
      <c r="E39"/>
      <c r="F39" t="s">
        <v>300</v>
      </c>
      <c r="G39"/>
      <c r="H39" t="s">
        <v>301</v>
      </c>
      <c r="I39"/>
      <c r="J39" t="s">
        <v>302</v>
      </c>
      <c r="L39" t="s">
        <v>271</v>
      </c>
    </row>
    <row r="40" spans="1:12" x14ac:dyDescent="0.25">
      <c r="A40" t="s">
        <v>88</v>
      </c>
      <c r="B40" t="s">
        <v>98</v>
      </c>
      <c r="C40" s="3" t="s">
        <v>142</v>
      </c>
      <c r="D40" t="s">
        <v>303</v>
      </c>
      <c r="E40"/>
      <c r="F40" t="s">
        <v>304</v>
      </c>
      <c r="G40"/>
      <c r="H40" t="s">
        <v>305</v>
      </c>
      <c r="I40"/>
      <c r="J40" t="s">
        <v>306</v>
      </c>
      <c r="L40" t="s">
        <v>271</v>
      </c>
    </row>
    <row r="41" spans="1:12" x14ac:dyDescent="0.25">
      <c r="A41" t="s">
        <v>77</v>
      </c>
      <c r="B41" t="s">
        <v>98</v>
      </c>
      <c r="C41" s="3" t="s">
        <v>138</v>
      </c>
      <c r="D41" t="s">
        <v>307</v>
      </c>
      <c r="E41"/>
      <c r="F41" t="s">
        <v>308</v>
      </c>
      <c r="G41"/>
      <c r="H41" t="s">
        <v>309</v>
      </c>
      <c r="I41"/>
      <c r="J41" t="s">
        <v>310</v>
      </c>
      <c r="L41" t="s">
        <v>311</v>
      </c>
    </row>
    <row r="42" spans="1:12" x14ac:dyDescent="0.25">
      <c r="A42" t="s">
        <v>78</v>
      </c>
      <c r="B42" t="s">
        <v>98</v>
      </c>
      <c r="C42" s="3" t="s">
        <v>139</v>
      </c>
      <c r="D42" t="s">
        <v>312</v>
      </c>
      <c r="E42"/>
      <c r="F42" t="s">
        <v>313</v>
      </c>
      <c r="G42"/>
      <c r="H42" t="s">
        <v>314</v>
      </c>
      <c r="I42"/>
      <c r="J42" t="s">
        <v>315</v>
      </c>
      <c r="L42" t="s">
        <v>271</v>
      </c>
    </row>
    <row r="43" spans="1:12" x14ac:dyDescent="0.25">
      <c r="A43" t="s">
        <v>79</v>
      </c>
      <c r="B43" t="s">
        <v>98</v>
      </c>
      <c r="C43" s="3" t="s">
        <v>140</v>
      </c>
      <c r="D43" t="s">
        <v>316</v>
      </c>
      <c r="E43"/>
      <c r="F43" t="s">
        <v>317</v>
      </c>
      <c r="G43"/>
      <c r="H43" t="s">
        <v>318</v>
      </c>
      <c r="I43"/>
      <c r="J43" t="s">
        <v>319</v>
      </c>
      <c r="L43" t="s">
        <v>271</v>
      </c>
    </row>
    <row r="44" spans="1:12" x14ac:dyDescent="0.25">
      <c r="A44" t="s">
        <v>80</v>
      </c>
      <c r="B44" t="s">
        <v>98</v>
      </c>
      <c r="C44" s="3" t="s">
        <v>141</v>
      </c>
      <c r="D44" t="s">
        <v>320</v>
      </c>
      <c r="E44"/>
      <c r="F44" t="s">
        <v>321</v>
      </c>
      <c r="G44"/>
      <c r="H44" t="s">
        <v>322</v>
      </c>
      <c r="I44"/>
      <c r="J44" t="s">
        <v>323</v>
      </c>
      <c r="L44" t="s">
        <v>271</v>
      </c>
    </row>
    <row r="45" spans="1:12" x14ac:dyDescent="0.25">
      <c r="A45" t="s">
        <v>66</v>
      </c>
      <c r="B45" t="s">
        <v>98</v>
      </c>
      <c r="C45" s="3" t="s">
        <v>143</v>
      </c>
      <c r="D45" t="s">
        <v>324</v>
      </c>
      <c r="E45"/>
      <c r="F45" t="s">
        <v>325</v>
      </c>
      <c r="G45"/>
      <c r="H45" t="s">
        <v>326</v>
      </c>
      <c r="I45"/>
      <c r="J45" t="s">
        <v>327</v>
      </c>
      <c r="L45" t="s">
        <v>328</v>
      </c>
    </row>
    <row r="46" spans="1:12" x14ac:dyDescent="0.25">
      <c r="A46" t="s">
        <v>89</v>
      </c>
      <c r="B46" t="s">
        <v>98</v>
      </c>
      <c r="C46" s="3" t="s">
        <v>144</v>
      </c>
      <c r="D46" t="s">
        <v>329</v>
      </c>
      <c r="E46"/>
      <c r="F46" t="s">
        <v>330</v>
      </c>
      <c r="G46"/>
      <c r="H46" t="s">
        <v>331</v>
      </c>
      <c r="I46"/>
      <c r="J46" t="s">
        <v>332</v>
      </c>
      <c r="L46" t="s">
        <v>333</v>
      </c>
    </row>
    <row r="47" spans="1:12" x14ac:dyDescent="0.25">
      <c r="A47" t="s">
        <v>68</v>
      </c>
      <c r="B47" t="s">
        <v>98</v>
      </c>
      <c r="C47" s="3" t="s">
        <v>145</v>
      </c>
      <c r="D47" t="s">
        <v>334</v>
      </c>
      <c r="E47"/>
      <c r="F47" t="s">
        <v>335</v>
      </c>
      <c r="G47"/>
      <c r="H47" t="s">
        <v>336</v>
      </c>
      <c r="I47"/>
      <c r="J47" t="s">
        <v>337</v>
      </c>
      <c r="L47" t="s">
        <v>338</v>
      </c>
    </row>
    <row r="48" spans="1:12" x14ac:dyDescent="0.25">
      <c r="A48" t="s">
        <v>69</v>
      </c>
      <c r="B48" t="s">
        <v>98</v>
      </c>
      <c r="C48" s="3" t="s">
        <v>146</v>
      </c>
      <c r="D48" t="s">
        <v>240</v>
      </c>
      <c r="E48"/>
      <c r="F48" t="s">
        <v>241</v>
      </c>
      <c r="G48"/>
      <c r="H48" t="s">
        <v>242</v>
      </c>
      <c r="I48"/>
      <c r="J48" t="s">
        <v>243</v>
      </c>
      <c r="L48" t="s">
        <v>244</v>
      </c>
    </row>
    <row r="49" spans="1:4" x14ac:dyDescent="0.25">
      <c r="A49" t="s">
        <v>90</v>
      </c>
      <c r="B49" t="s">
        <v>99</v>
      </c>
      <c r="C49" s="3" t="s">
        <v>147</v>
      </c>
      <c r="D49" s="2" t="s">
        <v>182</v>
      </c>
    </row>
    <row r="50" spans="1:4" x14ac:dyDescent="0.25">
      <c r="A50" t="s">
        <v>91</v>
      </c>
      <c r="B50" t="s">
        <v>99</v>
      </c>
      <c r="C50" s="3" t="s">
        <v>148</v>
      </c>
      <c r="D50" s="2" t="s">
        <v>182</v>
      </c>
    </row>
    <row r="51" spans="1:4" x14ac:dyDescent="0.25">
      <c r="A51" t="s">
        <v>92</v>
      </c>
      <c r="B51" t="s">
        <v>99</v>
      </c>
      <c r="C51" s="3" t="s">
        <v>149</v>
      </c>
      <c r="D51" s="2" t="s">
        <v>182</v>
      </c>
    </row>
    <row r="52" spans="1:4" x14ac:dyDescent="0.25">
      <c r="A52" t="s">
        <v>93</v>
      </c>
      <c r="B52" t="s">
        <v>99</v>
      </c>
      <c r="C52" s="3" t="s">
        <v>150</v>
      </c>
      <c r="D52" s="2" t="s">
        <v>182</v>
      </c>
    </row>
    <row r="53" spans="1:4" x14ac:dyDescent="0.25">
      <c r="A53" t="s">
        <v>94</v>
      </c>
      <c r="B53" t="s">
        <v>99</v>
      </c>
      <c r="C53" s="3" t="s">
        <v>151</v>
      </c>
      <c r="D53" s="2" t="s">
        <v>182</v>
      </c>
    </row>
    <row r="54" spans="1:4" x14ac:dyDescent="0.25">
      <c r="A54" t="s">
        <v>95</v>
      </c>
      <c r="B54" t="s">
        <v>99</v>
      </c>
      <c r="C54" s="3" t="s">
        <v>152</v>
      </c>
      <c r="D54" s="2" t="s">
        <v>182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</vt:lpstr>
      <vt:lpstr>Races</vt:lpstr>
      <vt:lpstr>Archetypes</vt:lpstr>
      <vt:lpstr>traits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Charles Meriam</dc:creator>
  <cp:lastModifiedBy>Charles Meriam</cp:lastModifiedBy>
  <dcterms:created xsi:type="dcterms:W3CDTF">2015-03-03T14:43:36Z</dcterms:created>
  <dcterms:modified xsi:type="dcterms:W3CDTF">2015-07-21T03:45:45Z</dcterms:modified>
</cp:coreProperties>
</file>